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irship\"/>
    </mc:Choice>
  </mc:AlternateContent>
  <xr:revisionPtr revIDLastSave="0" documentId="8_{7C2295DC-AAF3-473B-B576-F41F51D9DCD0}" xr6:coauthVersionLast="47" xr6:coauthVersionMax="47" xr10:uidLastSave="{00000000-0000-0000-0000-000000000000}"/>
  <bookViews>
    <workbookView xWindow="-108" yWindow="-108" windowWidth="23256" windowHeight="13896" xr2:uid="{5332C965-8CB4-45A7-AEDF-A2850620FDD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" l="1"/>
  <c r="D13" i="1"/>
  <c r="D12" i="1"/>
  <c r="D11" i="1"/>
  <c r="D10" i="1"/>
  <c r="C5" i="1"/>
  <c r="C14" i="1"/>
  <c r="C15" i="1"/>
  <c r="B9" i="1"/>
  <c r="B10" i="1"/>
  <c r="B11" i="1"/>
  <c r="B12" i="1"/>
  <c r="B13" i="1"/>
  <c r="B14" i="1"/>
  <c r="D14" i="1"/>
  <c r="B15" i="1"/>
  <c r="D15" i="1"/>
  <c r="B16" i="1"/>
  <c r="C16" i="1"/>
  <c r="B17" i="1"/>
  <c r="C17" i="1"/>
  <c r="B18" i="1"/>
  <c r="D18" i="1"/>
  <c r="B19" i="1"/>
  <c r="D19" i="1"/>
  <c r="D8" i="1"/>
  <c r="D9" i="1"/>
  <c r="D17" i="1"/>
  <c r="C18" i="1"/>
  <c r="C10" i="1"/>
  <c r="C9" i="1"/>
  <c r="C13" i="1"/>
  <c r="C28" i="1"/>
  <c r="C12" i="1"/>
  <c r="C19" i="1"/>
  <c r="C11" i="1"/>
  <c r="C8" i="1"/>
  <c r="B20" i="1"/>
  <c r="D16" i="1"/>
  <c r="D20" i="1"/>
  <c r="C20" i="1"/>
  <c r="B21" i="1"/>
  <c r="D21" i="1"/>
  <c r="C21" i="1"/>
  <c r="B22" i="1"/>
  <c r="C22" i="1"/>
  <c r="B23" i="1"/>
  <c r="D22" i="1"/>
  <c r="C23" i="1"/>
  <c r="B24" i="1"/>
  <c r="D23" i="1"/>
  <c r="B25" i="1"/>
  <c r="C24" i="1"/>
  <c r="D24" i="1"/>
  <c r="C25" i="1"/>
  <c r="B26" i="1"/>
  <c r="D25" i="1"/>
  <c r="D26" i="1"/>
  <c r="B27" i="1"/>
  <c r="C26" i="1"/>
  <c r="D27" i="1"/>
  <c r="B29" i="1"/>
  <c r="C27" i="1"/>
  <c r="D29" i="1"/>
  <c r="C29" i="1"/>
</calcChain>
</file>

<file path=xl/sharedStrings.xml><?xml version="1.0" encoding="utf-8"?>
<sst xmlns="http://schemas.openxmlformats.org/spreadsheetml/2006/main" count="20" uniqueCount="13">
  <si>
    <t>ОБВОД ДИРИЖАБЛЯ</t>
  </si>
  <si>
    <t>длина</t>
  </si>
  <si>
    <t>L</t>
  </si>
  <si>
    <t>удлинение</t>
  </si>
  <si>
    <t>L / D</t>
  </si>
  <si>
    <t xml:space="preserve">диаметр </t>
  </si>
  <si>
    <t>D</t>
  </si>
  <si>
    <t>аьсц и ордината</t>
  </si>
  <si>
    <t xml:space="preserve">       х </t>
  </si>
  <si>
    <t xml:space="preserve">       у</t>
  </si>
  <si>
    <t>у красн</t>
  </si>
  <si>
    <t xml:space="preserve">х </t>
  </si>
  <si>
    <t>у син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</si>
</sst>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&quot; &quot;* #,##0.00&quot; &quot;;&quot;-&quot;* #,##0.00&quot; &quot;;&quot; &quot;* &quot;-&quot;#&quot; &quot;;&quot; &quot;@&quot; &quot;"/>
    <numFmt numFmtId="171" formatCode="#,##0.00&quot; &quot;[$руб.-419];[Red]&quot;-&quot;#,##0.00&quot; &quot;[$руб.-419]"/>
    <numFmt numFmtId="176" formatCode="0.000"/>
  </numFmts>
  <fonts count="6" x14ac:knownFonts="1">
    <font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i/>
      <sz val="16"/>
      <color rgb="FF000000"/>
      <name val="Arial"/>
      <family val="2"/>
      <charset val="204"/>
    </font>
    <font>
      <b/>
      <i/>
      <u/>
      <sz val="12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4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71" fontId="3" fillId="0" borderId="0" applyBorder="0" applyProtection="0"/>
    <xf numFmtId="170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2" xfId="0" applyBorder="1"/>
    <xf numFmtId="0" fontId="4" fillId="0" borderId="0" xfId="0" applyFont="1"/>
    <xf numFmtId="2" fontId="0" fillId="0" borderId="0" xfId="0" applyNumberFormat="1"/>
    <xf numFmtId="170" fontId="5" fillId="0" borderId="0" xfId="5" applyFont="1" applyBorder="1"/>
    <xf numFmtId="170" fontId="1" fillId="0" borderId="0" xfId="5" applyFont="1"/>
    <xf numFmtId="176" fontId="5" fillId="0" borderId="1" xfId="5" applyNumberFormat="1" applyFont="1" applyBorder="1" applyAlignment="1">
      <alignment horizontal="center"/>
    </xf>
  </cellXfs>
  <cellStyles count="6">
    <cellStyle name="Heading" xfId="1" xr:uid="{88CA7B71-AFC5-4F68-96AB-75407908CBC2}"/>
    <cellStyle name="Heading1" xfId="2" xr:uid="{B6AF0CF5-017B-401E-9487-7F3673686147}"/>
    <cellStyle name="Result" xfId="3" xr:uid="{307D42F4-C9CD-440F-984C-196C8DDE3775}"/>
    <cellStyle name="Result2" xfId="4" xr:uid="{0ED3D507-5B1F-448A-8ABA-AAB843AAE4C7}"/>
    <cellStyle name="Обычный" xfId="0" builtinId="0" customBuiltin="1"/>
    <cellStyle name="Финансовый" xfId="5" builtinId="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307878131638856E-2"/>
          <c:y val="0.13563492063492064"/>
          <c:w val="0.91729123726844153"/>
          <c:h val="0.821209848768903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Лист1!$B$7:$B$29</c:f>
              <c:numCache>
                <c:formatCode>0.000</c:formatCode>
                <c:ptCount val="2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0.6</c:v>
                </c:pt>
                <c:pt idx="4">
                  <c:v>0.89999999999999991</c:v>
                </c:pt>
                <c:pt idx="5">
                  <c:v>1.2</c:v>
                </c:pt>
                <c:pt idx="6">
                  <c:v>1.5</c:v>
                </c:pt>
                <c:pt idx="7">
                  <c:v>1.8</c:v>
                </c:pt>
                <c:pt idx="8">
                  <c:v>2.1</c:v>
                </c:pt>
                <c:pt idx="9">
                  <c:v>2.4</c:v>
                </c:pt>
                <c:pt idx="10">
                  <c:v>2.6999999999999997</c:v>
                </c:pt>
                <c:pt idx="11">
                  <c:v>2.9999999999999996</c:v>
                </c:pt>
                <c:pt idx="12">
                  <c:v>3.2999999999999994</c:v>
                </c:pt>
                <c:pt idx="13">
                  <c:v>3.5999999999999992</c:v>
                </c:pt>
                <c:pt idx="14">
                  <c:v>3.899999999999999</c:v>
                </c:pt>
                <c:pt idx="15">
                  <c:v>4.1999999999999993</c:v>
                </c:pt>
                <c:pt idx="16">
                  <c:v>4.4999999999999991</c:v>
                </c:pt>
                <c:pt idx="17">
                  <c:v>4.7999999999999989</c:v>
                </c:pt>
                <c:pt idx="18">
                  <c:v>5.0999999999999988</c:v>
                </c:pt>
                <c:pt idx="19">
                  <c:v>5.3999999999999986</c:v>
                </c:pt>
                <c:pt idx="20">
                  <c:v>5.6999999999999984</c:v>
                </c:pt>
                <c:pt idx="21">
                  <c:v>5.85</c:v>
                </c:pt>
                <c:pt idx="22">
                  <c:v>5.9999999999999982</c:v>
                </c:pt>
              </c:numCache>
            </c:numRef>
          </c:xVal>
          <c:yVal>
            <c:numRef>
              <c:f>Лист1!$C$7:$C$29</c:f>
              <c:numCache>
                <c:formatCode>0.000</c:formatCode>
                <c:ptCount val="23"/>
                <c:pt idx="0">
                  <c:v>0</c:v>
                </c:pt>
                <c:pt idx="1">
                  <c:v>0.30160401936976899</c:v>
                </c:pt>
                <c:pt idx="2">
                  <c:v>0.41835539437181873</c:v>
                </c:pt>
                <c:pt idx="3">
                  <c:v>0.56843304618925872</c:v>
                </c:pt>
                <c:pt idx="4">
                  <c:v>0.66760905625972455</c:v>
                </c:pt>
                <c:pt idx="5">
                  <c:v>0.73769613256407962</c:v>
                </c:pt>
                <c:pt idx="6">
                  <c:v>0.78740999485655505</c:v>
                </c:pt>
                <c:pt idx="7">
                  <c:v>0.82132562117591346</c:v>
                </c:pt>
                <c:pt idx="8">
                  <c:v>0.8421974756552052</c:v>
                </c:pt>
                <c:pt idx="9">
                  <c:v>0.85181812143203439</c:v>
                </c:pt>
                <c:pt idx="10">
                  <c:v>0.85140209302068315</c:v>
                </c:pt>
                <c:pt idx="11">
                  <c:v>0.84177669247847431</c:v>
                </c:pt>
                <c:pt idx="12">
                  <c:v>0.82347963909255217</c:v>
                </c:pt>
                <c:pt idx="13">
                  <c:v>0.79680289156101836</c:v>
                </c:pt>
                <c:pt idx="14">
                  <c:v>0.76179627985439791</c:v>
                </c:pt>
                <c:pt idx="15">
                  <c:v>0.71822842049030633</c:v>
                </c:pt>
                <c:pt idx="16">
                  <c:v>0.66548290736877691</c:v>
                </c:pt>
                <c:pt idx="17">
                  <c:v>0.6023263700021777</c:v>
                </c:pt>
                <c:pt idx="18">
                  <c:v>0.52636290522794293</c:v>
                </c:pt>
                <c:pt idx="19">
                  <c:v>0.43251269576741946</c:v>
                </c:pt>
                <c:pt idx="20">
                  <c:v>0.30698893139655781</c:v>
                </c:pt>
                <c:pt idx="21">
                  <c:v>0.21727787623225711</c:v>
                </c:pt>
                <c:pt idx="22">
                  <c:v>2.5086900367691351E-8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0F-41F7-9EC6-B99AF6618EA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Лист1!$B$7:$B$29</c:f>
              <c:numCache>
                <c:formatCode>0.000</c:formatCode>
                <c:ptCount val="2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0.6</c:v>
                </c:pt>
                <c:pt idx="4">
                  <c:v>0.89999999999999991</c:v>
                </c:pt>
                <c:pt idx="5">
                  <c:v>1.2</c:v>
                </c:pt>
                <c:pt idx="6">
                  <c:v>1.5</c:v>
                </c:pt>
                <c:pt idx="7">
                  <c:v>1.8</c:v>
                </c:pt>
                <c:pt idx="8">
                  <c:v>2.1</c:v>
                </c:pt>
                <c:pt idx="9">
                  <c:v>2.4</c:v>
                </c:pt>
                <c:pt idx="10">
                  <c:v>2.6999999999999997</c:v>
                </c:pt>
                <c:pt idx="11">
                  <c:v>2.9999999999999996</c:v>
                </c:pt>
                <c:pt idx="12">
                  <c:v>3.2999999999999994</c:v>
                </c:pt>
                <c:pt idx="13">
                  <c:v>3.5999999999999992</c:v>
                </c:pt>
                <c:pt idx="14">
                  <c:v>3.899999999999999</c:v>
                </c:pt>
                <c:pt idx="15">
                  <c:v>4.1999999999999993</c:v>
                </c:pt>
                <c:pt idx="16">
                  <c:v>4.4999999999999991</c:v>
                </c:pt>
                <c:pt idx="17">
                  <c:v>4.7999999999999989</c:v>
                </c:pt>
                <c:pt idx="18">
                  <c:v>5.0999999999999988</c:v>
                </c:pt>
                <c:pt idx="19">
                  <c:v>5.3999999999999986</c:v>
                </c:pt>
                <c:pt idx="20">
                  <c:v>5.6999999999999984</c:v>
                </c:pt>
                <c:pt idx="21">
                  <c:v>5.85</c:v>
                </c:pt>
                <c:pt idx="22">
                  <c:v>5.9999999999999982</c:v>
                </c:pt>
              </c:numCache>
            </c:numRef>
          </c:xVal>
          <c:yVal>
            <c:numRef>
              <c:f>Лист1!$D$7:$D$29</c:f>
              <c:numCache>
                <c:formatCode>0.000</c:formatCode>
                <c:ptCount val="23"/>
                <c:pt idx="0">
                  <c:v>0</c:v>
                </c:pt>
                <c:pt idx="1">
                  <c:v>-0.30160401936976899</c:v>
                </c:pt>
                <c:pt idx="2">
                  <c:v>-0.41835539437181873</c:v>
                </c:pt>
                <c:pt idx="3">
                  <c:v>-0.56843304618925872</c:v>
                </c:pt>
                <c:pt idx="4">
                  <c:v>-0.66760905625972455</c:v>
                </c:pt>
                <c:pt idx="5">
                  <c:v>-0.73769613256407962</c:v>
                </c:pt>
                <c:pt idx="6">
                  <c:v>-0.78740999485655505</c:v>
                </c:pt>
                <c:pt idx="7">
                  <c:v>-0.82132562117591346</c:v>
                </c:pt>
                <c:pt idx="8">
                  <c:v>-0.8421974756552052</c:v>
                </c:pt>
                <c:pt idx="9">
                  <c:v>-0.85140209302068315</c:v>
                </c:pt>
                <c:pt idx="10">
                  <c:v>-0.84177669247847431</c:v>
                </c:pt>
                <c:pt idx="11">
                  <c:v>-0.84177669247847431</c:v>
                </c:pt>
                <c:pt idx="12">
                  <c:v>-0.82347963909255217</c:v>
                </c:pt>
                <c:pt idx="13">
                  <c:v>-0.79680289156101836</c:v>
                </c:pt>
                <c:pt idx="14">
                  <c:v>-0.76179627985439791</c:v>
                </c:pt>
                <c:pt idx="15">
                  <c:v>-0.71822842049030633</c:v>
                </c:pt>
                <c:pt idx="16">
                  <c:v>-0.66548290736877691</c:v>
                </c:pt>
                <c:pt idx="17">
                  <c:v>-0.6023263700021777</c:v>
                </c:pt>
                <c:pt idx="18">
                  <c:v>-0.52636290522794293</c:v>
                </c:pt>
                <c:pt idx="19">
                  <c:v>-0.43251269576741946</c:v>
                </c:pt>
                <c:pt idx="20">
                  <c:v>-0.30698893139655781</c:v>
                </c:pt>
                <c:pt idx="21">
                  <c:v>-0.21727787623225711</c:v>
                </c:pt>
                <c:pt idx="22">
                  <c:v>-2.5086900367691351E-8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0F-41F7-9EC6-B99AF6618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64527"/>
        <c:axId val="1"/>
      </c:scatterChart>
      <c:valAx>
        <c:axId val="457364527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020" b="0" i="0" u="none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2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364527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421990664340601"/>
          <c:y val="0.42433151832884641"/>
          <c:w val="8.2836950770375228E-2"/>
          <c:h val="0.14640676342192449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2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20" baseline="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Лист2!$C$5:$C$27</c:f>
              <c:numCache>
                <c:formatCode>General</c:formatCode>
                <c:ptCount val="2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0.6</c:v>
                </c:pt>
                <c:pt idx="4">
                  <c:v>0.89999999999999991</c:v>
                </c:pt>
                <c:pt idx="5">
                  <c:v>1.2</c:v>
                </c:pt>
                <c:pt idx="6">
                  <c:v>1.5</c:v>
                </c:pt>
                <c:pt idx="7">
                  <c:v>1.8</c:v>
                </c:pt>
                <c:pt idx="8">
                  <c:v>2.1</c:v>
                </c:pt>
                <c:pt idx="9">
                  <c:v>2.4</c:v>
                </c:pt>
                <c:pt idx="10">
                  <c:v>2.6999999999999997</c:v>
                </c:pt>
                <c:pt idx="11">
                  <c:v>2.9999999999999996</c:v>
                </c:pt>
                <c:pt idx="12">
                  <c:v>3.2999999999999994</c:v>
                </c:pt>
                <c:pt idx="13">
                  <c:v>3.5999999999999992</c:v>
                </c:pt>
                <c:pt idx="14">
                  <c:v>3.899999999999999</c:v>
                </c:pt>
                <c:pt idx="15">
                  <c:v>4.1999999999999993</c:v>
                </c:pt>
                <c:pt idx="16">
                  <c:v>4.4999999999999991</c:v>
                </c:pt>
                <c:pt idx="17">
                  <c:v>4.7999999999999989</c:v>
                </c:pt>
                <c:pt idx="18">
                  <c:v>5.0999999999999988</c:v>
                </c:pt>
                <c:pt idx="19">
                  <c:v>5.3999999999999986</c:v>
                </c:pt>
                <c:pt idx="20">
                  <c:v>5.6999999999999984</c:v>
                </c:pt>
                <c:pt idx="21">
                  <c:v>5.85</c:v>
                </c:pt>
                <c:pt idx="22">
                  <c:v>5.9999999999999982</c:v>
                </c:pt>
              </c:numCache>
            </c:numRef>
          </c:xVal>
          <c:yVal>
            <c:numRef>
              <c:f>Лист2!$D$5:$D$27</c:f>
              <c:numCache>
                <c:formatCode>General</c:formatCode>
                <c:ptCount val="23"/>
                <c:pt idx="0">
                  <c:v>0</c:v>
                </c:pt>
                <c:pt idx="1">
                  <c:v>0.18096241162186136</c:v>
                </c:pt>
                <c:pt idx="2">
                  <c:v>0.25101323662309122</c:v>
                </c:pt>
                <c:pt idx="3">
                  <c:v>0.34105982771355525</c:v>
                </c:pt>
                <c:pt idx="4">
                  <c:v>0.4005654337558347</c:v>
                </c:pt>
                <c:pt idx="5">
                  <c:v>0.44261767953844772</c:v>
                </c:pt>
                <c:pt idx="6">
                  <c:v>0.47244599691393296</c:v>
                </c:pt>
                <c:pt idx="7">
                  <c:v>0.49279537270554802</c:v>
                </c:pt>
                <c:pt idx="8">
                  <c:v>0.50531848539312307</c:v>
                </c:pt>
                <c:pt idx="9">
                  <c:v>0.51109087285922061</c:v>
                </c:pt>
                <c:pt idx="10">
                  <c:v>0.5108412558124098</c:v>
                </c:pt>
                <c:pt idx="11">
                  <c:v>0.50506601548708452</c:v>
                </c:pt>
                <c:pt idx="12">
                  <c:v>0.49408778345553128</c:v>
                </c:pt>
                <c:pt idx="13">
                  <c:v>0.47808173493661099</c:v>
                </c:pt>
                <c:pt idx="14">
                  <c:v>0.45707776791263871</c:v>
                </c:pt>
                <c:pt idx="15">
                  <c:v>0.43093705229418378</c:v>
                </c:pt>
                <c:pt idx="16">
                  <c:v>0.39928974442126614</c:v>
                </c:pt>
                <c:pt idx="17">
                  <c:v>0.3613958220013066</c:v>
                </c:pt>
                <c:pt idx="18">
                  <c:v>0.31581774313676569</c:v>
                </c:pt>
                <c:pt idx="19">
                  <c:v>0.25950761746045165</c:v>
                </c:pt>
                <c:pt idx="20">
                  <c:v>0.18419335883793467</c:v>
                </c:pt>
                <c:pt idx="21">
                  <c:v>0.13036672573935426</c:v>
                </c:pt>
                <c:pt idx="22">
                  <c:v>1.505214022061481E-8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E2-4689-9823-DA06A8D1933B}"/>
            </c:ext>
          </c:extLst>
        </c:ser>
        <c:ser>
          <c:idx val="1"/>
          <c:order val="1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Лист2!$C$5:$C$27</c:f>
              <c:numCache>
                <c:formatCode>General</c:formatCode>
                <c:ptCount val="2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0.6</c:v>
                </c:pt>
                <c:pt idx="4">
                  <c:v>0.89999999999999991</c:v>
                </c:pt>
                <c:pt idx="5">
                  <c:v>1.2</c:v>
                </c:pt>
                <c:pt idx="6">
                  <c:v>1.5</c:v>
                </c:pt>
                <c:pt idx="7">
                  <c:v>1.8</c:v>
                </c:pt>
                <c:pt idx="8">
                  <c:v>2.1</c:v>
                </c:pt>
                <c:pt idx="9">
                  <c:v>2.4</c:v>
                </c:pt>
                <c:pt idx="10">
                  <c:v>2.6999999999999997</c:v>
                </c:pt>
                <c:pt idx="11">
                  <c:v>2.9999999999999996</c:v>
                </c:pt>
                <c:pt idx="12">
                  <c:v>3.2999999999999994</c:v>
                </c:pt>
                <c:pt idx="13">
                  <c:v>3.5999999999999992</c:v>
                </c:pt>
                <c:pt idx="14">
                  <c:v>3.899999999999999</c:v>
                </c:pt>
                <c:pt idx="15">
                  <c:v>4.1999999999999993</c:v>
                </c:pt>
                <c:pt idx="16">
                  <c:v>4.4999999999999991</c:v>
                </c:pt>
                <c:pt idx="17">
                  <c:v>4.7999999999999989</c:v>
                </c:pt>
                <c:pt idx="18">
                  <c:v>5.0999999999999988</c:v>
                </c:pt>
                <c:pt idx="19">
                  <c:v>5.3999999999999986</c:v>
                </c:pt>
                <c:pt idx="20">
                  <c:v>5.6999999999999984</c:v>
                </c:pt>
                <c:pt idx="21">
                  <c:v>5.85</c:v>
                </c:pt>
                <c:pt idx="22">
                  <c:v>5.9999999999999982</c:v>
                </c:pt>
              </c:numCache>
            </c:numRef>
          </c:xVal>
          <c:yVal>
            <c:numRef>
              <c:f>Лист2!$E$5:$E$27</c:f>
              <c:numCache>
                <c:formatCode>General</c:formatCode>
                <c:ptCount val="23"/>
                <c:pt idx="0">
                  <c:v>0</c:v>
                </c:pt>
                <c:pt idx="1">
                  <c:v>-0.180962411621861</c:v>
                </c:pt>
                <c:pt idx="2">
                  <c:v>-0.251013236623091</c:v>
                </c:pt>
                <c:pt idx="3">
                  <c:v>-0.34105982771355497</c:v>
                </c:pt>
                <c:pt idx="4">
                  <c:v>-0.40056543375583498</c:v>
                </c:pt>
                <c:pt idx="5">
                  <c:v>-0.44261767953844799</c:v>
                </c:pt>
                <c:pt idx="6">
                  <c:v>-0.47244599691393302</c:v>
                </c:pt>
                <c:pt idx="7">
                  <c:v>-0.49279537270554802</c:v>
                </c:pt>
                <c:pt idx="8">
                  <c:v>-0.50531848539312296</c:v>
                </c:pt>
                <c:pt idx="9">
                  <c:v>-0.51109087285922095</c:v>
                </c:pt>
                <c:pt idx="10">
                  <c:v>-0.51084125581241002</c:v>
                </c:pt>
                <c:pt idx="11">
                  <c:v>-0.50506601548708496</c:v>
                </c:pt>
                <c:pt idx="12">
                  <c:v>-0.494087783455531</c:v>
                </c:pt>
                <c:pt idx="13">
                  <c:v>-0.47808173493661099</c:v>
                </c:pt>
                <c:pt idx="14">
                  <c:v>-0.45707776791263899</c:v>
                </c:pt>
                <c:pt idx="15">
                  <c:v>-0.430937052294184</c:v>
                </c:pt>
                <c:pt idx="16">
                  <c:v>-0.39928974442126602</c:v>
                </c:pt>
                <c:pt idx="17">
                  <c:v>-0.36139582200130699</c:v>
                </c:pt>
                <c:pt idx="18">
                  <c:v>-0.31581774313676603</c:v>
                </c:pt>
                <c:pt idx="19">
                  <c:v>-0.25950761746045198</c:v>
                </c:pt>
                <c:pt idx="20">
                  <c:v>-0.184193358837935</c:v>
                </c:pt>
                <c:pt idx="21">
                  <c:v>-0.13036672573935401</c:v>
                </c:pt>
                <c:pt idx="22">
                  <c:v>-1.50521402206148E-8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E2-4689-9823-DA06A8D19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63087"/>
        <c:axId val="1"/>
      </c:scatterChart>
      <c:valAx>
        <c:axId val="45736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363087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0277478261132205"/>
          <c:y val="0.88891659375911347"/>
          <c:w val="0.59610663598005376"/>
          <c:h val="0.9666969233012540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784860</xdr:colOff>
      <xdr:row>10</xdr:row>
      <xdr:rowOff>182880</xdr:rowOff>
    </xdr:from>
    <xdr:to>
      <xdr:col>16</xdr:col>
      <xdr:colOff>83820</xdr:colOff>
      <xdr:row>24</xdr:row>
      <xdr:rowOff>53340</xdr:rowOff>
    </xdr:to>
    <xdr:graphicFrame macro="">
      <xdr:nvGraphicFramePr>
        <xdr:cNvPr id="1033" name="Диаграмма 1">
          <a:extLst>
            <a:ext uri="{FF2B5EF4-FFF2-40B4-BE49-F238E27FC236}">
              <a16:creationId xmlns:a16="http://schemas.microsoft.com/office/drawing/2014/main" id="{8333A4BE-C3E3-E075-4FC6-52549E090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4</xdr:row>
      <xdr:rowOff>38100</xdr:rowOff>
    </xdr:from>
    <xdr:to>
      <xdr:col>16</xdr:col>
      <xdr:colOff>647700</xdr:colOff>
      <xdr:row>18</xdr:row>
      <xdr:rowOff>114300</xdr:rowOff>
    </xdr:to>
    <xdr:graphicFrame macro="">
      <xdr:nvGraphicFramePr>
        <xdr:cNvPr id="3080" name="Диаграмма 3">
          <a:extLst>
            <a:ext uri="{FF2B5EF4-FFF2-40B4-BE49-F238E27FC236}">
              <a16:creationId xmlns:a16="http://schemas.microsoft.com/office/drawing/2014/main" id="{C0AADD75-8B55-BB31-00F3-ABA65DE50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137A-C3E2-47DD-9DD4-E50E96650ED1}">
  <dimension ref="A1:D35"/>
  <sheetViews>
    <sheetView tabSelected="1" workbookViewId="0">
      <selection activeCell="F9" sqref="F9"/>
    </sheetView>
  </sheetViews>
  <sheetFormatPr defaultRowHeight="15" x14ac:dyDescent="0.25"/>
  <cols>
    <col min="1" max="3" width="9.54296875" customWidth="1"/>
    <col min="4" max="4" width="9.54296875" style="5" customWidth="1"/>
    <col min="5" max="9" width="9.54296875" customWidth="1"/>
    <col min="10" max="10" width="8.90625" customWidth="1"/>
  </cols>
  <sheetData>
    <row r="1" spans="1:4" x14ac:dyDescent="0.25">
      <c r="A1" t="s">
        <v>0</v>
      </c>
    </row>
    <row r="3" spans="1:4" x14ac:dyDescent="0.25">
      <c r="A3" t="s">
        <v>1</v>
      </c>
      <c r="B3" s="1" t="s">
        <v>2</v>
      </c>
      <c r="C3" s="1">
        <v>6</v>
      </c>
    </row>
    <row r="4" spans="1:4" x14ac:dyDescent="0.25">
      <c r="A4" t="s">
        <v>3</v>
      </c>
      <c r="B4" s="1" t="s">
        <v>4</v>
      </c>
      <c r="C4" s="1">
        <v>3</v>
      </c>
    </row>
    <row r="5" spans="1:4" x14ac:dyDescent="0.25">
      <c r="A5" t="s">
        <v>5</v>
      </c>
      <c r="B5" s="1" t="s">
        <v>6</v>
      </c>
      <c r="C5" s="1">
        <f>C3/C4</f>
        <v>2</v>
      </c>
    </row>
    <row r="6" spans="1:4" ht="17.399999999999999" x14ac:dyDescent="0.3">
      <c r="A6" s="2" t="s">
        <v>7</v>
      </c>
      <c r="B6" s="6" t="s">
        <v>11</v>
      </c>
      <c r="C6" s="6" t="s">
        <v>12</v>
      </c>
      <c r="D6" s="6" t="s">
        <v>10</v>
      </c>
    </row>
    <row r="7" spans="1:4" ht="17.399999999999999" x14ac:dyDescent="0.3">
      <c r="B7" s="6">
        <v>0</v>
      </c>
      <c r="C7" s="6">
        <v>0</v>
      </c>
      <c r="D7" s="6">
        <v>0</v>
      </c>
    </row>
    <row r="8" spans="1:4" ht="17.399999999999999" x14ac:dyDescent="0.3">
      <c r="B8" s="6">
        <v>0.15</v>
      </c>
      <c r="C8" s="6">
        <f>0.972*C5*((B8/C3)*(1-B8/C3)*(1-0.5*B8/C3))^(1/2)</f>
        <v>0.30160401936976899</v>
      </c>
      <c r="D8" s="6">
        <f>-0.972*C5*((B8/C3)*(1-B8/C3)*(1-0.5*B8/C3))^(0.5)</f>
        <v>-0.30160401936976899</v>
      </c>
    </row>
    <row r="9" spans="1:4" ht="17.399999999999999" x14ac:dyDescent="0.3">
      <c r="B9" s="6">
        <f>C3/20</f>
        <v>0.3</v>
      </c>
      <c r="C9" s="6">
        <f>0.972*C5*((B9/C3)*(1-B9/C3)*(1-0.5*B9/C3))^(1/2)</f>
        <v>0.41835539437181873</v>
      </c>
      <c r="D9" s="6">
        <f>-0.972*C5*((B9/C3)*(1-B9/C3)*(1-0.5*B9/C3))^(0.5)</f>
        <v>-0.41835539437181873</v>
      </c>
    </row>
    <row r="10" spans="1:4" ht="17.399999999999999" x14ac:dyDescent="0.3">
      <c r="B10" s="6">
        <f t="shared" ref="B10:B27" si="0">B9+0.3</f>
        <v>0.6</v>
      </c>
      <c r="C10" s="6">
        <f>0.972*C5*((B10/C3)*(1-B10/C3)*(1-0.5*B10/C3))^(1/2)</f>
        <v>0.56843304618925872</v>
      </c>
      <c r="D10" s="6">
        <f>-0.972*C5*((B10/C3*(1-B10/C3)*(1-0.5*B10/C3))^(1/2))</f>
        <v>-0.56843304618925872</v>
      </c>
    </row>
    <row r="11" spans="1:4" ht="17.399999999999999" x14ac:dyDescent="0.3">
      <c r="B11" s="6">
        <f t="shared" si="0"/>
        <v>0.89999999999999991</v>
      </c>
      <c r="C11" s="6">
        <f>0.972*C5*((B11/C3)*(1-B11/C3)*(1-0.5*B11/C3))^(1/2)</f>
        <v>0.66760905625972455</v>
      </c>
      <c r="D11" s="6">
        <f>-0.972*C5*(B11/C3*(1-B11/C3)*(1-0.5*B11/C3))^(1/2)</f>
        <v>-0.66760905625972455</v>
      </c>
    </row>
    <row r="12" spans="1:4" ht="17.399999999999999" x14ac:dyDescent="0.3">
      <c r="B12" s="6">
        <f t="shared" si="0"/>
        <v>1.2</v>
      </c>
      <c r="C12" s="6">
        <f>0.972*C5*((B12/C3)*(1-B12/C3)*(1-0.5*B12/C3))^(1/2)</f>
        <v>0.73769613256407962</v>
      </c>
      <c r="D12" s="6">
        <f>-0.972*C5*((B12/C3*(1-B12/C3)*(1-0.5*B12/C3))^(1/2))</f>
        <v>-0.73769613256407962</v>
      </c>
    </row>
    <row r="13" spans="1:4" ht="17.399999999999999" x14ac:dyDescent="0.3">
      <c r="B13" s="6">
        <f t="shared" si="0"/>
        <v>1.5</v>
      </c>
      <c r="C13" s="6">
        <f>0.972*C5*((B13/C3)*(1-B13/C3)*(1-0.5*B13/C3))^(1/2)</f>
        <v>0.78740999485655505</v>
      </c>
      <c r="D13" s="6">
        <f>-0.972*C5*((B13/C3*(1-B13/C3)*(1-0.5*B13/C3))^(1/2))</f>
        <v>-0.78740999485655505</v>
      </c>
    </row>
    <row r="14" spans="1:4" ht="17.399999999999999" x14ac:dyDescent="0.3">
      <c r="B14" s="6">
        <f t="shared" si="0"/>
        <v>1.8</v>
      </c>
      <c r="C14" s="6">
        <f>0.972*C5*((B14/C3)*(1-B14/C3)*(1-0.5*B14/C3))^(1/2)</f>
        <v>0.82132562117591346</v>
      </c>
      <c r="D14" s="6">
        <f>-0.972*C5*((B14/C3*(1-B14/C3)*(1-0.5*B14/C3))^(1/2))</f>
        <v>-0.82132562117591346</v>
      </c>
    </row>
    <row r="15" spans="1:4" ht="17.399999999999999" x14ac:dyDescent="0.3">
      <c r="B15" s="6">
        <f t="shared" si="0"/>
        <v>2.1</v>
      </c>
      <c r="C15" s="6">
        <f>0.972*C5*((B15/C3)*(1-B15/C3)*(1-0.5*B15/C3))^(1/2)</f>
        <v>0.8421974756552052</v>
      </c>
      <c r="D15" s="6">
        <f>-0.972*C5*((B15/C3)*(1-B15/C3)*(1-0.5*B15/C3))^(1/2)</f>
        <v>-0.8421974756552052</v>
      </c>
    </row>
    <row r="16" spans="1:4" ht="17.399999999999999" x14ac:dyDescent="0.3">
      <c r="B16" s="6">
        <f t="shared" si="0"/>
        <v>2.4</v>
      </c>
      <c r="C16" s="6">
        <f>0.972*C5*((B16/C3)*(1-B16/C3)*(1-0.5*B16/C3))^(1/2)</f>
        <v>0.85181812143203439</v>
      </c>
      <c r="D16" s="6">
        <f>-0.972*C5*((B17/C3)*(1-B17/C3)*(1-0.5*B17/C3))^(1/2)</f>
        <v>-0.85140209302068315</v>
      </c>
    </row>
    <row r="17" spans="2:4" ht="17.399999999999999" x14ac:dyDescent="0.3">
      <c r="B17" s="6">
        <f t="shared" si="0"/>
        <v>2.6999999999999997</v>
      </c>
      <c r="C17" s="6">
        <f>0.972*C5*((B17/C3)*(1-B17/C3)*(1-0.5*B17/C3))^(1/2)</f>
        <v>0.85140209302068315</v>
      </c>
      <c r="D17" s="6">
        <f>-0.972*C5*((B18/C3)*(1-B18/C3)*(1-0.5*B18/C3))^(1/2)</f>
        <v>-0.84177669247847431</v>
      </c>
    </row>
    <row r="18" spans="2:4" ht="17.399999999999999" x14ac:dyDescent="0.3">
      <c r="B18" s="6">
        <f t="shared" si="0"/>
        <v>2.9999999999999996</v>
      </c>
      <c r="C18" s="6">
        <f>0.972*C5*((B18/C3)*(1-B18/C3)*(1-0.5*B18/C3))^(1/2)</f>
        <v>0.84177669247847431</v>
      </c>
      <c r="D18" s="6">
        <f>-0.972*C5*((B18/C3*(1-B18/C3)*(1-0.5*B18/C3))^(1/2))</f>
        <v>-0.84177669247847431</v>
      </c>
    </row>
    <row r="19" spans="2:4" ht="17.399999999999999" x14ac:dyDescent="0.3">
      <c r="B19" s="6">
        <f t="shared" si="0"/>
        <v>3.2999999999999994</v>
      </c>
      <c r="C19" s="6">
        <f>0.972*C5*((B19/C3)*(1-B19/C3)*(1-0.5*B19/C3))^(1/2)</f>
        <v>0.82347963909255217</v>
      </c>
      <c r="D19" s="6">
        <f>-0.972*C5*((B19/C3)*(1-B19/C3)*(1-0.5*B19/C3))^(1/2)</f>
        <v>-0.82347963909255217</v>
      </c>
    </row>
    <row r="20" spans="2:4" ht="17.399999999999999" x14ac:dyDescent="0.3">
      <c r="B20" s="6">
        <f t="shared" si="0"/>
        <v>3.5999999999999992</v>
      </c>
      <c r="C20" s="6">
        <f>0.972*C5*((B20/C3)*(1-B20/C3)*(1-0.5*B20/C3))^(1/2)</f>
        <v>0.79680289156101836</v>
      </c>
      <c r="D20" s="6">
        <f>-0.972*C5*((B20/C3)*(1-B20/C3)*(1-0.5*B20/C3))^(1/2)</f>
        <v>-0.79680289156101836</v>
      </c>
    </row>
    <row r="21" spans="2:4" ht="17.399999999999999" x14ac:dyDescent="0.3">
      <c r="B21" s="6">
        <f t="shared" si="0"/>
        <v>3.899999999999999</v>
      </c>
      <c r="C21" s="6">
        <f>0.972*C5*((B21/C3)*(1-B21/C3)*(1-0.5*B21/C3))^(1/2)</f>
        <v>0.76179627985439791</v>
      </c>
      <c r="D21" s="6">
        <f>-0.972*C5*((B21/C3)*(1-B21/C3)*(1-0.5*B21/C3))^(1/2)</f>
        <v>-0.76179627985439791</v>
      </c>
    </row>
    <row r="22" spans="2:4" ht="17.399999999999999" x14ac:dyDescent="0.3">
      <c r="B22" s="6">
        <f t="shared" si="0"/>
        <v>4.1999999999999993</v>
      </c>
      <c r="C22" s="6">
        <f>0.972*C5*((B22/C3)*(1-B22/C3)*(1-0.5*B22/C3))^(1/2)</f>
        <v>0.71822842049030633</v>
      </c>
      <c r="D22" s="6">
        <f>-0.972*C5*((B22/C3)*(1-B22/C3)*(1-0.5*B22/C3))^(1/2)</f>
        <v>-0.71822842049030633</v>
      </c>
    </row>
    <row r="23" spans="2:4" ht="17.399999999999999" x14ac:dyDescent="0.3">
      <c r="B23" s="6">
        <f t="shared" si="0"/>
        <v>4.4999999999999991</v>
      </c>
      <c r="C23" s="6">
        <f>0.972*C5*((B23/C3)*(1-B23/C3)*(1-0.5*B23/C3))^(1/2)</f>
        <v>0.66548290736877691</v>
      </c>
      <c r="D23" s="6">
        <f>-0.972*C5*((B23/C3)*(1-B23/C3)*(1-0.5*B23/C3))^(1/2)</f>
        <v>-0.66548290736877691</v>
      </c>
    </row>
    <row r="24" spans="2:4" ht="17.399999999999999" x14ac:dyDescent="0.3">
      <c r="B24" s="6">
        <f t="shared" si="0"/>
        <v>4.7999999999999989</v>
      </c>
      <c r="C24" s="6">
        <f>0.972*C5*((B24/C3)*(1-B24/C3)*(1-0.5*B24/C3))^(1/2)</f>
        <v>0.6023263700021777</v>
      </c>
      <c r="D24" s="6">
        <f>-0.972*C5*((B24/C3)*(1-B24/C3)*(1-0.5*B24/C3))^(1/2)</f>
        <v>-0.6023263700021777</v>
      </c>
    </row>
    <row r="25" spans="2:4" ht="17.399999999999999" x14ac:dyDescent="0.3">
      <c r="B25" s="6">
        <f t="shared" si="0"/>
        <v>5.0999999999999988</v>
      </c>
      <c r="C25" s="6">
        <f>0.972*C5*((B25/C3)*(1-B25/C3)*(1-0.5*B25/C3))^(1/2)</f>
        <v>0.52636290522794293</v>
      </c>
      <c r="D25" s="6">
        <f>-0.972*C5*((B25/C3)*(1-B25/C3)*(1-0.5*B25/C3))^(1/2)</f>
        <v>-0.52636290522794293</v>
      </c>
    </row>
    <row r="26" spans="2:4" ht="17.399999999999999" x14ac:dyDescent="0.3">
      <c r="B26" s="6">
        <f t="shared" si="0"/>
        <v>5.3999999999999986</v>
      </c>
      <c r="C26" s="6">
        <f>0.972*C5*((B26/C3*(1-B26/C3)*(1-0.5*B26/C3))^(1/2))</f>
        <v>0.43251269576741946</v>
      </c>
      <c r="D26" s="6">
        <f>-0.972*C5*((B26/C3)*(1-B26/C3)*(1-0.5*B26/C3))^(1/2)</f>
        <v>-0.43251269576741946</v>
      </c>
    </row>
    <row r="27" spans="2:4" ht="17.399999999999999" x14ac:dyDescent="0.3">
      <c r="B27" s="6">
        <f t="shared" si="0"/>
        <v>5.6999999999999984</v>
      </c>
      <c r="C27" s="6">
        <f>0.972*C5*((B27/C3*(1-B27/C3)*(1-0.5*B27/C3))^(1/2))</f>
        <v>0.30698893139655781</v>
      </c>
      <c r="D27" s="6">
        <f>-0.972*C5*((B27/C3)*(1-B27/C3)*(1-0.5*B27/C3))^(1/2)</f>
        <v>-0.30698893139655781</v>
      </c>
    </row>
    <row r="28" spans="2:4" ht="17.399999999999999" x14ac:dyDescent="0.3">
      <c r="B28" s="6">
        <v>5.85</v>
      </c>
      <c r="C28" s="6">
        <f>0.972*C5*((B28/C3)*(1-B28/C3)*(1-0.5*B28/C3))^(1/2)</f>
        <v>0.21727787623225711</v>
      </c>
      <c r="D28" s="6">
        <f>-0.972*C5*((B28/C3*(1-B28/C3)*(1-0.5*B28/C3))^(1/2))</f>
        <v>-0.21727787623225711</v>
      </c>
    </row>
    <row r="29" spans="2:4" ht="17.399999999999999" x14ac:dyDescent="0.3">
      <c r="B29" s="6">
        <f>B27+0.3</f>
        <v>5.9999999999999982</v>
      </c>
      <c r="C29" s="6">
        <f>0.972*C5*((B29/C3*(1-B29/C3)*(1-0.5*B29/C3))^(1/2))</f>
        <v>2.5086900367691351E-8</v>
      </c>
      <c r="D29" s="6">
        <f>-0.972*C5*((B29/C3*(1-B29/C3)*(1-0.5*B29/C3))^(1/2))</f>
        <v>-2.5086900367691351E-8</v>
      </c>
    </row>
    <row r="30" spans="2:4" ht="17.399999999999999" x14ac:dyDescent="0.3">
      <c r="B30" s="3"/>
      <c r="C30" s="3"/>
      <c r="D30" s="4"/>
    </row>
    <row r="31" spans="2:4" x14ac:dyDescent="0.25">
      <c r="B31" s="3"/>
      <c r="C31" s="3"/>
    </row>
    <row r="32" spans="2:4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</sheetData>
  <pageMargins left="0" right="0" top="0.39409448818897608" bottom="0.39409448818897608" header="0" footer="0"/>
  <headerFooter>
    <oddHeader>&amp;C&amp;A</oddHeader>
    <oddFooter>&amp;CСтраница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B8AE-03F9-4ABF-AA61-C87697D09331}">
  <dimension ref="B1:E27"/>
  <sheetViews>
    <sheetView workbookViewId="0">
      <selection activeCell="E5" sqref="E5:E27"/>
    </sheetView>
  </sheetViews>
  <sheetFormatPr defaultRowHeight="15" x14ac:dyDescent="0.25"/>
  <cols>
    <col min="1" max="1" width="9.54296875" customWidth="1"/>
    <col min="2" max="2" width="8.90625" customWidth="1"/>
  </cols>
  <sheetData>
    <row r="1" spans="2:5" x14ac:dyDescent="0.25">
      <c r="B1" t="s">
        <v>1</v>
      </c>
      <c r="C1" t="s">
        <v>2</v>
      </c>
      <c r="D1">
        <v>6</v>
      </c>
    </row>
    <row r="2" spans="2:5" x14ac:dyDescent="0.25">
      <c r="B2" t="s">
        <v>3</v>
      </c>
      <c r="C2" t="s">
        <v>4</v>
      </c>
      <c r="D2">
        <v>5</v>
      </c>
    </row>
    <row r="3" spans="2:5" x14ac:dyDescent="0.25">
      <c r="B3" t="s">
        <v>5</v>
      </c>
      <c r="C3" t="s">
        <v>6</v>
      </c>
      <c r="D3">
        <v>1.2</v>
      </c>
    </row>
    <row r="4" spans="2:5" x14ac:dyDescent="0.25">
      <c r="B4" t="s">
        <v>7</v>
      </c>
      <c r="C4" t="s">
        <v>8</v>
      </c>
      <c r="D4" t="s">
        <v>9</v>
      </c>
    </row>
    <row r="5" spans="2:5" x14ac:dyDescent="0.25">
      <c r="C5">
        <v>0</v>
      </c>
      <c r="D5">
        <v>0</v>
      </c>
      <c r="E5">
        <v>0</v>
      </c>
    </row>
    <row r="6" spans="2:5" x14ac:dyDescent="0.25">
      <c r="C6">
        <v>0.15</v>
      </c>
      <c r="D6">
        <v>0.18096241162186136</v>
      </c>
      <c r="E6">
        <v>-0.180962411621861</v>
      </c>
    </row>
    <row r="7" spans="2:5" x14ac:dyDescent="0.25">
      <c r="C7">
        <v>0.3</v>
      </c>
      <c r="D7">
        <v>0.25101323662309122</v>
      </c>
      <c r="E7">
        <v>-0.251013236623091</v>
      </c>
    </row>
    <row r="8" spans="2:5" x14ac:dyDescent="0.25">
      <c r="C8">
        <v>0.6</v>
      </c>
      <c r="D8">
        <v>0.34105982771355525</v>
      </c>
      <c r="E8">
        <v>-0.34105982771355497</v>
      </c>
    </row>
    <row r="9" spans="2:5" x14ac:dyDescent="0.25">
      <c r="C9">
        <v>0.89999999999999991</v>
      </c>
      <c r="D9">
        <v>0.4005654337558347</v>
      </c>
      <c r="E9">
        <v>-0.40056543375583498</v>
      </c>
    </row>
    <row r="10" spans="2:5" x14ac:dyDescent="0.25">
      <c r="C10">
        <v>1.2</v>
      </c>
      <c r="D10">
        <v>0.44261767953844772</v>
      </c>
      <c r="E10">
        <v>-0.44261767953844799</v>
      </c>
    </row>
    <row r="11" spans="2:5" x14ac:dyDescent="0.25">
      <c r="C11">
        <v>1.5</v>
      </c>
      <c r="D11">
        <v>0.47244599691393296</v>
      </c>
      <c r="E11">
        <v>-0.47244599691393302</v>
      </c>
    </row>
    <row r="12" spans="2:5" x14ac:dyDescent="0.25">
      <c r="C12">
        <v>1.8</v>
      </c>
      <c r="D12">
        <v>0.49279537270554802</v>
      </c>
      <c r="E12">
        <v>-0.49279537270554802</v>
      </c>
    </row>
    <row r="13" spans="2:5" x14ac:dyDescent="0.25">
      <c r="C13">
        <v>2.1</v>
      </c>
      <c r="D13">
        <v>0.50531848539312307</v>
      </c>
      <c r="E13">
        <v>-0.50531848539312296</v>
      </c>
    </row>
    <row r="14" spans="2:5" x14ac:dyDescent="0.25">
      <c r="C14">
        <v>2.4</v>
      </c>
      <c r="D14">
        <v>0.51109087285922061</v>
      </c>
      <c r="E14">
        <v>-0.51109087285922095</v>
      </c>
    </row>
    <row r="15" spans="2:5" x14ac:dyDescent="0.25">
      <c r="C15">
        <v>2.6999999999999997</v>
      </c>
      <c r="D15">
        <v>0.5108412558124098</v>
      </c>
      <c r="E15">
        <v>-0.51084125581241002</v>
      </c>
    </row>
    <row r="16" spans="2:5" x14ac:dyDescent="0.25">
      <c r="C16">
        <v>2.9999999999999996</v>
      </c>
      <c r="D16">
        <v>0.50506601548708452</v>
      </c>
      <c r="E16">
        <v>-0.50506601548708496</v>
      </c>
    </row>
    <row r="17" spans="3:5" x14ac:dyDescent="0.25">
      <c r="C17">
        <v>3.2999999999999994</v>
      </c>
      <c r="D17">
        <v>0.49408778345553128</v>
      </c>
      <c r="E17">
        <v>-0.494087783455531</v>
      </c>
    </row>
    <row r="18" spans="3:5" x14ac:dyDescent="0.25">
      <c r="C18">
        <v>3.5999999999999992</v>
      </c>
      <c r="D18">
        <v>0.47808173493661099</v>
      </c>
      <c r="E18">
        <v>-0.47808173493661099</v>
      </c>
    </row>
    <row r="19" spans="3:5" x14ac:dyDescent="0.25">
      <c r="C19">
        <v>3.899999999999999</v>
      </c>
      <c r="D19">
        <v>0.45707776791263871</v>
      </c>
      <c r="E19">
        <v>-0.45707776791263899</v>
      </c>
    </row>
    <row r="20" spans="3:5" x14ac:dyDescent="0.25">
      <c r="C20">
        <v>4.1999999999999993</v>
      </c>
      <c r="D20">
        <v>0.43093705229418378</v>
      </c>
      <c r="E20">
        <v>-0.430937052294184</v>
      </c>
    </row>
    <row r="21" spans="3:5" x14ac:dyDescent="0.25">
      <c r="C21">
        <v>4.4999999999999991</v>
      </c>
      <c r="D21">
        <v>0.39928974442126614</v>
      </c>
      <c r="E21">
        <v>-0.39928974442126602</v>
      </c>
    </row>
    <row r="22" spans="3:5" x14ac:dyDescent="0.25">
      <c r="C22">
        <v>4.7999999999999989</v>
      </c>
      <c r="D22">
        <v>0.3613958220013066</v>
      </c>
      <c r="E22">
        <v>-0.36139582200130699</v>
      </c>
    </row>
    <row r="23" spans="3:5" x14ac:dyDescent="0.25">
      <c r="C23">
        <v>5.0999999999999988</v>
      </c>
      <c r="D23">
        <v>0.31581774313676569</v>
      </c>
      <c r="E23">
        <v>-0.31581774313676603</v>
      </c>
    </row>
    <row r="24" spans="3:5" x14ac:dyDescent="0.25">
      <c r="C24">
        <v>5.3999999999999986</v>
      </c>
      <c r="D24">
        <v>0.25950761746045165</v>
      </c>
      <c r="E24">
        <v>-0.25950761746045198</v>
      </c>
    </row>
    <row r="25" spans="3:5" x14ac:dyDescent="0.25">
      <c r="C25">
        <v>5.6999999999999984</v>
      </c>
      <c r="D25">
        <v>0.18419335883793467</v>
      </c>
      <c r="E25">
        <v>-0.184193358837935</v>
      </c>
    </row>
    <row r="26" spans="3:5" x14ac:dyDescent="0.25">
      <c r="C26">
        <v>5.85</v>
      </c>
      <c r="D26">
        <v>0.13036672573935426</v>
      </c>
      <c r="E26">
        <v>-0.13036672573935401</v>
      </c>
    </row>
    <row r="27" spans="3:5" x14ac:dyDescent="0.25">
      <c r="C27">
        <v>5.9999999999999982</v>
      </c>
      <c r="D27">
        <v>1.505214022061481E-8</v>
      </c>
      <c r="E27">
        <v>-1.50521402206148E-8</v>
      </c>
    </row>
  </sheetData>
  <pageMargins left="0" right="0" top="0.39409448818897608" bottom="0.39409448818897608" header="0" footer="0"/>
  <headerFooter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Alvian Vashedchenko</dc:creator>
  <cp:lastModifiedBy>RAV</cp:lastModifiedBy>
  <cp:revision>1</cp:revision>
  <dcterms:created xsi:type="dcterms:W3CDTF">2026-06-05T19:26:27Z</dcterms:created>
  <dcterms:modified xsi:type="dcterms:W3CDTF">2026-06-29T14:31:00Z</dcterms:modified>
</cp:coreProperties>
</file>